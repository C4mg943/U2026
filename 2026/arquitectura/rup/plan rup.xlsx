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dadmag-my.sharepoint.com/personal/camilomonsalveag_unimagdalena_edu_co/Documents/Documentos/GitHub/U2026/2026/arquitectura/rup/"/>
    </mc:Choice>
  </mc:AlternateContent>
  <xr:revisionPtr revIDLastSave="1" documentId="8_{AFE74E40-7F7F-43B2-A04B-E9AC5F76E170}" xr6:coauthVersionLast="47" xr6:coauthVersionMax="47" xr10:uidLastSave="{14470CE5-6B1F-4075-B3EF-C923272E6948}"/>
  <bookViews>
    <workbookView xWindow="-120" yWindow="-120" windowWidth="29040" windowHeight="15720" xr2:uid="{1BECDA6E-5C87-4FA1-859E-1A40E906C60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6" i="1" l="1"/>
  <c r="P27" i="1"/>
  <c r="P28" i="1"/>
  <c r="P29" i="1"/>
  <c r="P25" i="1"/>
  <c r="P24" i="1"/>
  <c r="M7" i="1"/>
  <c r="M8" i="1"/>
  <c r="M9" i="1"/>
  <c r="M10" i="1"/>
  <c r="M6" i="1"/>
  <c r="M5" i="1"/>
  <c r="M11" i="1" l="1"/>
  <c r="M12" i="1" s="1"/>
  <c r="M13" i="1" s="1"/>
  <c r="M15" i="1" s="1"/>
  <c r="P30" i="1"/>
  <c r="P31" i="1" s="1"/>
  <c r="P32" i="1" s="1"/>
  <c r="P34" i="1" s="1"/>
</calcChain>
</file>

<file path=xl/sharedStrings.xml><?xml version="1.0" encoding="utf-8"?>
<sst xmlns="http://schemas.openxmlformats.org/spreadsheetml/2006/main" count="57" uniqueCount="36">
  <si>
    <t>Inicio</t>
  </si>
  <si>
    <t>elaboracion</t>
  </si>
  <si>
    <t>construccion</t>
  </si>
  <si>
    <t>despliege</t>
  </si>
  <si>
    <t>como hacer el plan RUP</t>
  </si>
  <si>
    <t>INTEGRANTES</t>
  </si>
  <si>
    <t>arq software</t>
  </si>
  <si>
    <t>des. Back</t>
  </si>
  <si>
    <t>Des. Web</t>
  </si>
  <si>
    <t>tester</t>
  </si>
  <si>
    <t>Tester</t>
  </si>
  <si>
    <t>Auxiliar soft</t>
  </si>
  <si>
    <t>60 req +-</t>
  </si>
  <si>
    <t>salario mensual</t>
  </si>
  <si>
    <t>Cantidad per</t>
  </si>
  <si>
    <t>1 iteracion = 15 dias</t>
  </si>
  <si>
    <t>total</t>
  </si>
  <si>
    <t xml:space="preserve">disponibilidad </t>
  </si>
  <si>
    <t>duracion 7 meses</t>
  </si>
  <si>
    <t>imprevisto 10</t>
  </si>
  <si>
    <t>subtotal</t>
  </si>
  <si>
    <t>TOTAL</t>
  </si>
  <si>
    <t>precion ganancia</t>
  </si>
  <si>
    <t>carros</t>
  </si>
  <si>
    <t>stakeholders</t>
  </si>
  <si>
    <t>empresa</t>
  </si>
  <si>
    <t>duenos carros</t>
  </si>
  <si>
    <t>usuario (alquila)</t>
  </si>
  <si>
    <t>administrador</t>
  </si>
  <si>
    <t>sistemas AlquiCarro</t>
  </si>
  <si>
    <t>usuarios</t>
  </si>
  <si>
    <t>aprox casos de uso</t>
  </si>
  <si>
    <t>1 iteracion = 10 dias</t>
  </si>
  <si>
    <t>parqueadero</t>
  </si>
  <si>
    <t>duracion 8 meses</t>
  </si>
  <si>
    <t>CAMILO MONSALVE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</si>
</sst>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4">
    <xf numFmtId="0" fontId="0" fillId="0" borderId="0" xfId="0"/>
    <xf numFmtId="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9" fontId="0" fillId="0" borderId="0" xfId="0" applyNumberFormat="1"/>
    <xf numFmtId="9" fontId="2" fillId="0" borderId="0" xfId="0" applyNumberFormat="1" applyFont="1"/>
    <xf numFmtId="0" fontId="0" fillId="2" borderId="0" xfId="0" applyFill="1" applyAlignment="1">
      <alignment horizontal="center" vertical="center"/>
    </xf>
    <xf numFmtId="6" fontId="0" fillId="0" borderId="0" xfId="0" applyNumberFormat="1" applyAlignment="1">
      <alignment horizontal="center" vertical="center"/>
    </xf>
    <xf numFmtId="44" fontId="0" fillId="0" borderId="0" xfId="1" applyFont="1"/>
    <xf numFmtId="0" fontId="3" fillId="2" borderId="0" xfId="0" applyFont="1" applyFill="1" applyAlignment="1"/>
    <xf numFmtId="0" fontId="0" fillId="0" borderId="1" xfId="0" applyBorder="1"/>
    <xf numFmtId="0" fontId="0" fillId="0" borderId="1" xfId="0" applyBorder="1" applyAlignment="1">
      <alignment horizontal="center"/>
    </xf>
    <xf numFmtId="6" fontId="0" fillId="0" borderId="1" xfId="0" applyNumberFormat="1" applyBorder="1"/>
    <xf numFmtId="9" fontId="0" fillId="0" borderId="1" xfId="0" applyNumberFormat="1" applyBorder="1"/>
    <xf numFmtId="0" fontId="0" fillId="2" borderId="1" xfId="0" applyFill="1" applyBorder="1" applyAlignment="1">
      <alignment horizontal="center" vertical="center"/>
    </xf>
    <xf numFmtId="6" fontId="0" fillId="0" borderId="1" xfId="0" applyNumberFormat="1" applyBorder="1" applyAlignment="1">
      <alignment horizontal="center" vertical="center"/>
    </xf>
    <xf numFmtId="9" fontId="2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4" fontId="0" fillId="3" borderId="1" xfId="1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6" fontId="2" fillId="0" borderId="1" xfId="0" applyNumberFormat="1" applyFont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C963-ED5F-4FBF-A54F-44006CC765A6}">
  <dimension ref="B2:P35"/>
  <sheetViews>
    <sheetView tabSelected="1" topLeftCell="G15" zoomScale="145" zoomScaleNormal="145" workbookViewId="0">
      <selection activeCell="H21" sqref="H21:P35"/>
    </sheetView>
  </sheetViews>
  <sheetFormatPr baseColWidth="10" defaultRowHeight="15" x14ac:dyDescent="0.25"/>
  <cols>
    <col min="3" max="3" width="6" bestFit="1" customWidth="1"/>
    <col min="4" max="4" width="11.7109375" bestFit="1" customWidth="1"/>
    <col min="5" max="5" width="19" bestFit="1" customWidth="1"/>
    <col min="6" max="6" width="18.5703125" bestFit="1" customWidth="1"/>
    <col min="7" max="8" width="25.85546875" customWidth="1"/>
    <col min="10" max="10" width="15.42578125" bestFit="1" customWidth="1"/>
    <col min="11" max="11" width="14.42578125" bestFit="1" customWidth="1"/>
    <col min="12" max="12" width="16.7109375" bestFit="1" customWidth="1"/>
    <col min="13" max="13" width="17" bestFit="1" customWidth="1"/>
    <col min="14" max="14" width="16.7109375" bestFit="1" customWidth="1"/>
    <col min="15" max="15" width="16.5703125" bestFit="1" customWidth="1"/>
    <col min="16" max="16" width="17.7109375" bestFit="1" customWidth="1"/>
  </cols>
  <sheetData>
    <row r="2" spans="2:13" x14ac:dyDescent="0.25">
      <c r="B2" t="s">
        <v>4</v>
      </c>
      <c r="E2" t="s">
        <v>12</v>
      </c>
      <c r="L2" t="s">
        <v>18</v>
      </c>
    </row>
    <row r="4" spans="2:13" x14ac:dyDescent="0.25">
      <c r="E4" t="s">
        <v>5</v>
      </c>
      <c r="F4" t="s">
        <v>14</v>
      </c>
      <c r="G4" t="s">
        <v>13</v>
      </c>
      <c r="H4" s="4" t="s">
        <v>17</v>
      </c>
      <c r="I4" t="s">
        <v>0</v>
      </c>
      <c r="J4" t="s">
        <v>1</v>
      </c>
      <c r="K4" t="s">
        <v>2</v>
      </c>
      <c r="L4" t="s">
        <v>3</v>
      </c>
      <c r="M4" t="s">
        <v>16</v>
      </c>
    </row>
    <row r="5" spans="2:13" x14ac:dyDescent="0.25">
      <c r="I5" s="3">
        <v>2</v>
      </c>
      <c r="J5" s="3">
        <v>4</v>
      </c>
      <c r="K5" s="3">
        <v>6</v>
      </c>
      <c r="L5" s="3">
        <v>2</v>
      </c>
      <c r="M5" s="3">
        <f>SUM(I5:L5)</f>
        <v>14</v>
      </c>
    </row>
    <row r="6" spans="2:13" x14ac:dyDescent="0.25">
      <c r="E6" t="s">
        <v>6</v>
      </c>
      <c r="F6" s="2">
        <v>1</v>
      </c>
      <c r="G6" s="1">
        <v>15000000</v>
      </c>
      <c r="H6" s="5">
        <v>0.5</v>
      </c>
      <c r="I6" s="7">
        <v>2</v>
      </c>
      <c r="J6" s="7">
        <v>4</v>
      </c>
      <c r="K6" s="7">
        <v>6</v>
      </c>
      <c r="L6" s="7">
        <v>2</v>
      </c>
      <c r="M6" s="8">
        <f>F6*(G6/2)*H6*(SUM(I6:L6))</f>
        <v>52500000</v>
      </c>
    </row>
    <row r="7" spans="2:13" x14ac:dyDescent="0.25">
      <c r="E7" t="s">
        <v>7</v>
      </c>
      <c r="F7" s="2">
        <v>2</v>
      </c>
      <c r="G7" s="1">
        <v>8000000</v>
      </c>
      <c r="H7" s="5">
        <v>1</v>
      </c>
      <c r="I7" s="7">
        <v>0</v>
      </c>
      <c r="J7" s="7">
        <v>4</v>
      </c>
      <c r="K7" s="7">
        <v>6</v>
      </c>
      <c r="L7" s="7">
        <v>1</v>
      </c>
      <c r="M7" s="8">
        <f t="shared" ref="M7:M10" si="0">F7*(G7/2)*H7*(SUM(I7:L7))</f>
        <v>88000000</v>
      </c>
    </row>
    <row r="8" spans="2:13" x14ac:dyDescent="0.25">
      <c r="E8" t="s">
        <v>8</v>
      </c>
      <c r="F8" s="2">
        <v>1</v>
      </c>
      <c r="G8" s="1">
        <v>6000000</v>
      </c>
      <c r="H8" s="5">
        <v>1</v>
      </c>
      <c r="I8" s="7">
        <v>1</v>
      </c>
      <c r="J8" s="7">
        <v>4</v>
      </c>
      <c r="K8" s="7">
        <v>6</v>
      </c>
      <c r="L8" s="7">
        <v>0</v>
      </c>
      <c r="M8" s="8">
        <f t="shared" si="0"/>
        <v>33000000</v>
      </c>
    </row>
    <row r="9" spans="2:13" x14ac:dyDescent="0.25">
      <c r="E9" t="s">
        <v>10</v>
      </c>
      <c r="F9" s="2">
        <v>2</v>
      </c>
      <c r="G9" s="1">
        <v>5000000</v>
      </c>
      <c r="H9" s="6">
        <v>0.6</v>
      </c>
      <c r="I9" s="7">
        <v>0</v>
      </c>
      <c r="J9" s="7">
        <v>4</v>
      </c>
      <c r="K9" s="7">
        <v>6</v>
      </c>
      <c r="L9" s="7">
        <v>1</v>
      </c>
      <c r="M9" s="8">
        <f t="shared" si="0"/>
        <v>33000000</v>
      </c>
    </row>
    <row r="10" spans="2:13" x14ac:dyDescent="0.25">
      <c r="E10" t="s">
        <v>11</v>
      </c>
      <c r="F10" s="2">
        <v>2</v>
      </c>
      <c r="G10" s="1">
        <v>2000000</v>
      </c>
      <c r="H10" s="5">
        <v>1</v>
      </c>
      <c r="I10" s="7">
        <v>2</v>
      </c>
      <c r="J10" s="7">
        <v>4</v>
      </c>
      <c r="K10" s="7">
        <v>6</v>
      </c>
      <c r="L10" s="7">
        <v>2</v>
      </c>
      <c r="M10" s="8">
        <f t="shared" si="0"/>
        <v>28000000</v>
      </c>
    </row>
    <row r="11" spans="2:13" x14ac:dyDescent="0.25">
      <c r="L11" t="s">
        <v>20</v>
      </c>
      <c r="M11" s="1">
        <f>SUM(M6:M10)</f>
        <v>234500000</v>
      </c>
    </row>
    <row r="12" spans="2:13" x14ac:dyDescent="0.25">
      <c r="F12" t="s">
        <v>15</v>
      </c>
      <c r="L12" t="s">
        <v>19</v>
      </c>
      <c r="M12" s="8">
        <f>+M11*10%</f>
        <v>23450000</v>
      </c>
    </row>
    <row r="13" spans="2:13" x14ac:dyDescent="0.25">
      <c r="L13" t="s">
        <v>21</v>
      </c>
      <c r="M13" s="1">
        <f>M11+M12</f>
        <v>257950000</v>
      </c>
    </row>
    <row r="15" spans="2:13" x14ac:dyDescent="0.25">
      <c r="K15">
        <v>1.2</v>
      </c>
      <c r="L15" t="s">
        <v>22</v>
      </c>
      <c r="M15" s="9">
        <f>+M13*1.2</f>
        <v>309540000</v>
      </c>
    </row>
    <row r="21" spans="5:16" x14ac:dyDescent="0.25">
      <c r="E21" t="s">
        <v>29</v>
      </c>
      <c r="H21" s="11" t="s">
        <v>31</v>
      </c>
      <c r="I21" s="11">
        <v>27</v>
      </c>
      <c r="N21" s="11" t="s">
        <v>34</v>
      </c>
    </row>
    <row r="23" spans="5:16" ht="15.75" x14ac:dyDescent="0.25">
      <c r="E23" s="10" t="s">
        <v>24</v>
      </c>
      <c r="F23" s="10" t="s">
        <v>30</v>
      </c>
      <c r="H23" s="11" t="s">
        <v>5</v>
      </c>
      <c r="I23" s="11" t="s">
        <v>14</v>
      </c>
      <c r="J23" s="11" t="s">
        <v>13</v>
      </c>
      <c r="K23" s="21" t="s">
        <v>17</v>
      </c>
      <c r="L23" s="11" t="s">
        <v>0</v>
      </c>
      <c r="M23" s="11" t="s">
        <v>1</v>
      </c>
      <c r="N23" s="11" t="s">
        <v>2</v>
      </c>
      <c r="O23" s="11" t="s">
        <v>3</v>
      </c>
      <c r="P23" s="11" t="s">
        <v>16</v>
      </c>
    </row>
    <row r="24" spans="5:16" x14ac:dyDescent="0.25">
      <c r="E24" t="s">
        <v>25</v>
      </c>
      <c r="F24" t="s">
        <v>25</v>
      </c>
      <c r="L24" s="18">
        <v>2</v>
      </c>
      <c r="M24" s="18">
        <v>6</v>
      </c>
      <c r="N24" s="18">
        <v>6</v>
      </c>
      <c r="O24" s="18">
        <v>2</v>
      </c>
      <c r="P24" s="18">
        <f>SUM(L24:O24)</f>
        <v>16</v>
      </c>
    </row>
    <row r="25" spans="5:16" x14ac:dyDescent="0.25">
      <c r="E25" t="s">
        <v>26</v>
      </c>
      <c r="F25" t="s">
        <v>26</v>
      </c>
      <c r="H25" s="11" t="s">
        <v>6</v>
      </c>
      <c r="I25" s="12">
        <v>1</v>
      </c>
      <c r="J25" s="13">
        <v>7000000</v>
      </c>
      <c r="K25" s="14">
        <v>0.75</v>
      </c>
      <c r="L25" s="15">
        <v>2</v>
      </c>
      <c r="M25" s="15">
        <v>6</v>
      </c>
      <c r="N25" s="15">
        <v>6</v>
      </c>
      <c r="O25" s="15">
        <v>2</v>
      </c>
      <c r="P25" s="16">
        <f>I25*(J25/3)*K25*(SUM(L25:O25))</f>
        <v>28000000</v>
      </c>
    </row>
    <row r="26" spans="5:16" x14ac:dyDescent="0.25">
      <c r="E26" t="s">
        <v>27</v>
      </c>
      <c r="F26" t="s">
        <v>27</v>
      </c>
      <c r="H26" s="11" t="s">
        <v>7</v>
      </c>
      <c r="I26" s="12">
        <v>1</v>
      </c>
      <c r="J26" s="13">
        <v>3500000</v>
      </c>
      <c r="K26" s="14">
        <v>1</v>
      </c>
      <c r="L26" s="15">
        <v>0</v>
      </c>
      <c r="M26" s="15">
        <v>4</v>
      </c>
      <c r="N26" s="15">
        <v>6</v>
      </c>
      <c r="O26" s="15">
        <v>1</v>
      </c>
      <c r="P26" s="16">
        <f t="shared" ref="P26:P29" si="1">I26*(J26/3)*K26*(SUM(L26:O26))</f>
        <v>12833333.333333334</v>
      </c>
    </row>
    <row r="27" spans="5:16" x14ac:dyDescent="0.25">
      <c r="E27" t="s">
        <v>28</v>
      </c>
      <c r="F27" t="s">
        <v>28</v>
      </c>
      <c r="H27" s="11" t="s">
        <v>8</v>
      </c>
      <c r="I27" s="12">
        <v>1</v>
      </c>
      <c r="J27" s="13">
        <v>3500000</v>
      </c>
      <c r="K27" s="14">
        <v>1</v>
      </c>
      <c r="L27" s="15">
        <v>1</v>
      </c>
      <c r="M27" s="15">
        <v>4</v>
      </c>
      <c r="N27" s="15">
        <v>6</v>
      </c>
      <c r="O27" s="15">
        <v>0</v>
      </c>
      <c r="P27" s="16">
        <f t="shared" si="1"/>
        <v>12833333.333333334</v>
      </c>
    </row>
    <row r="28" spans="5:16" x14ac:dyDescent="0.25">
      <c r="E28" t="s">
        <v>23</v>
      </c>
      <c r="H28" s="11" t="s">
        <v>9</v>
      </c>
      <c r="I28" s="12">
        <v>1</v>
      </c>
      <c r="J28" s="13">
        <v>3000000</v>
      </c>
      <c r="K28" s="17">
        <v>0.4</v>
      </c>
      <c r="L28" s="15">
        <v>0</v>
      </c>
      <c r="M28" s="15">
        <v>2</v>
      </c>
      <c r="N28" s="15">
        <v>2</v>
      </c>
      <c r="O28" s="15">
        <v>2</v>
      </c>
      <c r="P28" s="23">
        <f t="shared" si="1"/>
        <v>2400000</v>
      </c>
    </row>
    <row r="29" spans="5:16" x14ac:dyDescent="0.25">
      <c r="E29" t="s">
        <v>33</v>
      </c>
      <c r="H29" s="11" t="s">
        <v>11</v>
      </c>
      <c r="I29" s="12">
        <v>2</v>
      </c>
      <c r="J29" s="13">
        <v>2000000</v>
      </c>
      <c r="K29" s="14">
        <v>1</v>
      </c>
      <c r="L29" s="15">
        <v>2</v>
      </c>
      <c r="M29" s="15">
        <v>6</v>
      </c>
      <c r="N29" s="15">
        <v>4</v>
      </c>
      <c r="O29" s="15">
        <v>2</v>
      </c>
      <c r="P29" s="16">
        <f t="shared" si="1"/>
        <v>18666666.666666664</v>
      </c>
    </row>
    <row r="30" spans="5:16" x14ac:dyDescent="0.25">
      <c r="O30" s="18" t="s">
        <v>20</v>
      </c>
      <c r="P30" s="16">
        <f>SUM(P25:P29)</f>
        <v>74733333.333333343</v>
      </c>
    </row>
    <row r="31" spans="5:16" x14ac:dyDescent="0.25">
      <c r="I31" s="22" t="s">
        <v>32</v>
      </c>
      <c r="J31" s="22"/>
      <c r="O31" s="18" t="s">
        <v>19</v>
      </c>
      <c r="P31" s="16">
        <f>+P30*10%</f>
        <v>7473333.3333333349</v>
      </c>
    </row>
    <row r="32" spans="5:16" x14ac:dyDescent="0.25">
      <c r="O32" s="18" t="s">
        <v>21</v>
      </c>
      <c r="P32" s="16">
        <f>P30+P31</f>
        <v>82206666.666666672</v>
      </c>
    </row>
    <row r="33" spans="8:16" x14ac:dyDescent="0.25">
      <c r="O33" s="3"/>
      <c r="P33" s="3"/>
    </row>
    <row r="34" spans="8:16" x14ac:dyDescent="0.25">
      <c r="N34" s="5">
        <v>0.2</v>
      </c>
      <c r="O34" s="19" t="s">
        <v>22</v>
      </c>
      <c r="P34" s="20">
        <f>+P32*1.2</f>
        <v>98648000</v>
      </c>
    </row>
    <row r="35" spans="8:16" x14ac:dyDescent="0.25">
      <c r="H35" s="18" t="s">
        <v>35</v>
      </c>
    </row>
  </sheetData>
  <mergeCells count="1">
    <mergeCell ref="I31:J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MONSALVE GARCIA</dc:creator>
  <cp:lastModifiedBy>CAMILO ANDRES MONSALVE GARCIA</cp:lastModifiedBy>
  <dcterms:created xsi:type="dcterms:W3CDTF">2026-02-18T17:30:49Z</dcterms:created>
  <dcterms:modified xsi:type="dcterms:W3CDTF">2026-02-19T12:58:11Z</dcterms:modified>
</cp:coreProperties>
</file>