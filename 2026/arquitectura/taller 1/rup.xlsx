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camilomonsalveag_unimagdalena_edu_co/Documents/Documentos/"/>
    </mc:Choice>
  </mc:AlternateContent>
  <xr:revisionPtr revIDLastSave="0" documentId="8_{2CA40EAB-BCE0-424F-A15C-B5C16F4E8184}" xr6:coauthVersionLast="47" xr6:coauthVersionMax="47" xr10:uidLastSave="{00000000-0000-0000-0000-000000000000}"/>
  <bookViews>
    <workbookView xWindow="-120" yWindow="-120" windowWidth="29040" windowHeight="15720" xr2:uid="{2B997785-B7EF-41F6-9473-F24C8AFAC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M6" i="1"/>
  <c r="K6" i="1"/>
  <c r="J3" i="1"/>
  <c r="K15" i="1" l="1"/>
  <c r="K17" i="1" s="1"/>
  <c r="K19" i="1" s="1"/>
</calcChain>
</file>

<file path=xl/sharedStrings.xml><?xml version="1.0" encoding="utf-8"?>
<sst xmlns="http://schemas.openxmlformats.org/spreadsheetml/2006/main" count="22" uniqueCount="21">
  <si>
    <t>50 req +/-</t>
  </si>
  <si>
    <t>DURACIÓN:</t>
  </si>
  <si>
    <t>MESES</t>
  </si>
  <si>
    <t>FASES</t>
  </si>
  <si>
    <t>INTEGRANTES</t>
  </si>
  <si>
    <t>CANTIDAD</t>
  </si>
  <si>
    <t>SALARIO MENSUAL</t>
  </si>
  <si>
    <t>DISPONIBILIDAD</t>
  </si>
  <si>
    <t>INICIO</t>
  </si>
  <si>
    <t>ELABORACIÓN</t>
  </si>
  <si>
    <t>CONSTRUCCIÓN</t>
  </si>
  <si>
    <t>DESPLIEGUE</t>
  </si>
  <si>
    <t>TOTAL</t>
  </si>
  <si>
    <t>DÍAS</t>
  </si>
  <si>
    <t>Arq. Software</t>
  </si>
  <si>
    <t>Des. Back</t>
  </si>
  <si>
    <t>Des. Web</t>
  </si>
  <si>
    <t>Auxiliar Soft</t>
  </si>
  <si>
    <t>1 iteración = 10 días</t>
  </si>
  <si>
    <t>IMPREVISTO 10%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</si>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</sst>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6" fontId="0" fillId="0" borderId="0" xfId="0" applyNumberFormat="1"/>
    <xf numFmtId="9" fontId="0" fillId="0" borderId="0" xfId="0" applyNumberFormat="1"/>
    <xf numFmtId="0" fontId="0" fillId="2" borderId="0" xfId="0" applyFill="1" applyAlignment="1">
      <alignment horizontal="center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9223-59C3-4776-84FC-FD0A2A36741C}">
  <dimension ref="B3:M19"/>
  <sheetViews>
    <sheetView tabSelected="1" workbookViewId="0">
      <selection activeCell="B2" sqref="B2"/>
    </sheetView>
  </sheetViews>
  <sheetFormatPr baseColWidth="10" defaultRowHeight="15" x14ac:dyDescent="0.25"/>
  <cols>
    <col min="11" max="11" width="17.7109375" customWidth="1"/>
  </cols>
  <sheetData>
    <row r="3" spans="2:13" x14ac:dyDescent="0.25">
      <c r="B3" t="s">
        <v>0</v>
      </c>
      <c r="I3" s="1" t="s">
        <v>1</v>
      </c>
      <c r="J3" s="2">
        <f>M6/30</f>
        <v>4</v>
      </c>
      <c r="K3" t="s">
        <v>2</v>
      </c>
    </row>
    <row r="4" spans="2:13" x14ac:dyDescent="0.25">
      <c r="F4" t="s">
        <v>3</v>
      </c>
    </row>
    <row r="5" spans="2:13" x14ac:dyDescent="0.25">
      <c r="B5" t="s">
        <v>4</v>
      </c>
      <c r="C5" t="s">
        <v>5</v>
      </c>
      <c r="D5" t="s">
        <v>6</v>
      </c>
      <c r="E5" t="s">
        <v>7</v>
      </c>
      <c r="F5" s="2" t="s">
        <v>8</v>
      </c>
      <c r="G5" s="2" t="s">
        <v>9</v>
      </c>
      <c r="H5" s="2" t="s">
        <v>10</v>
      </c>
      <c r="I5" s="2" t="s">
        <v>11</v>
      </c>
      <c r="K5" t="s">
        <v>12</v>
      </c>
      <c r="M5" t="s">
        <v>13</v>
      </c>
    </row>
    <row r="6" spans="2:13" x14ac:dyDescent="0.25">
      <c r="F6" s="2">
        <v>2</v>
      </c>
      <c r="G6" s="2">
        <v>4</v>
      </c>
      <c r="H6" s="2">
        <v>4</v>
      </c>
      <c r="I6" s="2">
        <v>2</v>
      </c>
      <c r="K6">
        <f>SUM(F6:J6)</f>
        <v>12</v>
      </c>
      <c r="M6">
        <f>SUM(F6:I6)*10</f>
        <v>120</v>
      </c>
    </row>
    <row r="7" spans="2:13" x14ac:dyDescent="0.25">
      <c r="F7" s="2"/>
      <c r="G7" s="2"/>
      <c r="H7" s="2"/>
      <c r="I7" s="2"/>
    </row>
    <row r="8" spans="2:13" x14ac:dyDescent="0.25">
      <c r="B8" t="s">
        <v>14</v>
      </c>
      <c r="C8" s="2">
        <v>1</v>
      </c>
      <c r="D8" s="3">
        <v>7000000</v>
      </c>
      <c r="E8" s="4">
        <v>1</v>
      </c>
      <c r="F8" s="5">
        <v>2</v>
      </c>
      <c r="G8" s="5">
        <v>4</v>
      </c>
      <c r="H8" s="5">
        <v>4</v>
      </c>
      <c r="I8" s="5">
        <v>2</v>
      </c>
      <c r="K8" s="6">
        <f>C8*(D8/3)*E8*(F8+G8+H8+I8)</f>
        <v>28000000</v>
      </c>
    </row>
    <row r="9" spans="2:13" x14ac:dyDescent="0.25">
      <c r="B9" t="s">
        <v>15</v>
      </c>
      <c r="C9" s="2">
        <v>1</v>
      </c>
      <c r="D9" s="3">
        <v>3000000</v>
      </c>
      <c r="E9" s="4">
        <v>1</v>
      </c>
      <c r="F9" s="5">
        <v>1</v>
      </c>
      <c r="G9" s="5">
        <v>3</v>
      </c>
      <c r="H9" s="5">
        <v>4</v>
      </c>
      <c r="I9" s="5">
        <v>1</v>
      </c>
      <c r="K9" s="6">
        <f t="shared" ref="K9" si="0">C9*(D9/3)*E9*(F9+G9+H9+I9)</f>
        <v>9000000</v>
      </c>
    </row>
    <row r="10" spans="2:13" x14ac:dyDescent="0.25">
      <c r="B10" t="s">
        <v>16</v>
      </c>
      <c r="C10" s="2">
        <v>1</v>
      </c>
      <c r="D10" s="3">
        <v>2500000</v>
      </c>
      <c r="E10" s="4">
        <v>1</v>
      </c>
      <c r="F10" s="5">
        <v>0</v>
      </c>
      <c r="G10" s="5">
        <v>2</v>
      </c>
      <c r="H10" s="5">
        <v>3</v>
      </c>
      <c r="I10" s="5">
        <v>0</v>
      </c>
      <c r="K10" s="6">
        <f>C10*(D10/3)*E10*(F10+G10+H10+I10)</f>
        <v>4166666.666666667</v>
      </c>
    </row>
    <row r="11" spans="2:13" x14ac:dyDescent="0.25">
      <c r="B11" t="s">
        <v>17</v>
      </c>
      <c r="C11" s="2">
        <v>1</v>
      </c>
      <c r="D11" s="3">
        <v>2000000</v>
      </c>
      <c r="E11" s="4">
        <v>1</v>
      </c>
      <c r="F11" s="5">
        <v>2</v>
      </c>
      <c r="G11" s="5">
        <v>4</v>
      </c>
      <c r="H11" s="5">
        <v>4</v>
      </c>
      <c r="I11" s="5">
        <v>2</v>
      </c>
      <c r="K11" s="6">
        <f>C11*(D11/3)*E11*(F11+G11+H11+I11)</f>
        <v>8000000</v>
      </c>
    </row>
    <row r="15" spans="2:13" x14ac:dyDescent="0.25">
      <c r="D15" t="s">
        <v>18</v>
      </c>
      <c r="I15" t="s">
        <v>19</v>
      </c>
      <c r="K15" s="6">
        <f>(K8+K9+K10+K11)*0.1</f>
        <v>4916666.666666667</v>
      </c>
    </row>
    <row r="17" spans="9:11" x14ac:dyDescent="0.25">
      <c r="I17" t="s">
        <v>12</v>
      </c>
      <c r="K17" s="7">
        <f>SUM(K8:K16)</f>
        <v>54083333.333333328</v>
      </c>
    </row>
    <row r="19" spans="9:11" x14ac:dyDescent="0.25">
      <c r="I19" t="s">
        <v>20</v>
      </c>
      <c r="K19" s="7">
        <f>K17*1.2</f>
        <v>64899999.999999993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MONSALVE GARCIA</dc:creator>
  <cp:lastModifiedBy>CAMILO ANDRES MONSALVE GARCIA</cp:lastModifiedBy>
  <dcterms:created xsi:type="dcterms:W3CDTF">2026-02-25T18:36:27Z</dcterms:created>
  <dcterms:modified xsi:type="dcterms:W3CDTF">2026-02-25T18:36:57Z</dcterms:modified>
</cp:coreProperties>
</file>